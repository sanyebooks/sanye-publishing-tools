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c5d2e3488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总表" sheetId="1" r:id="Rac4a4312898648e2"/>
    <x:sheet xmlns:r="http://schemas.openxmlformats.org/officeDocument/2006/relationships" name="维度说明" sheetId="2" r:id="R1fcf80c3a5414f16"/>
    <x:sheet xmlns:r="http://schemas.openxmlformats.org/officeDocument/2006/relationships" name="评分规则" sheetId="3" r:id="Rcb776649ab80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F2933"/>
      <x:name val="Carlito"/>
    </x:font>
    <x:font>
      <x:b/>
      <x:sz val="11"/>
      <x:color rgb="FF243447"/>
      <x:name val="Carlito"/>
    </x:font>
    <x:font>
      <x:b/>
      <x:sz val="11"/>
      <x:color rgb="FFFFFFFF"/>
      <x:name val="Carlito"/>
    </x:font>
    <x:font>
      <x:i/>
      <x:sz val="11"/>
      <x:color rgb="FFD97735"/>
      <x:name val="Carlito"/>
    </x:font>
    <x:font>
      <x:sz val="10"/>
      <x:color rgb="FF1F2933"/>
      <x:name val="Carlito"/>
    </x:font>
    <x:font>
      <x:b/>
      <x:sz val="18"/>
      <x:color rgb="FFFFFFFF"/>
      <x:name val="Carlito"/>
    </x:font>
    <x:font>
      <x:b/>
      <x:sz val="10"/>
      <x:color rgb="FF315B7D"/>
      <x:name val="Carlito"/>
    </x:font>
    <x:font>
      <x:b/>
      <x:sz val="11"/>
      <x:color rgb="FFD977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8F6F1"/>
      </x:patternFill>
    </x:fill>
    <x:fill>
      <x:patternFill patternType="solid">
        <x:fgColor rgb="FFFFF8DE"/>
      </x:patternFill>
    </x:fill>
    <x:fill>
      <x:patternFill patternType="solid">
        <x:fgColor rgb="FFEAF1F6"/>
      </x:patternFill>
    </x:fill>
    <x:fill>
      <x:patternFill patternType="solid">
        <x:fgColor rgb="FFFBE9DC"/>
      </x:patternFill>
    </x:fill>
    <x:fill>
      <x:patternFill patternType="solid">
        <x:fgColor rgb="FF315B7D"/>
      </x:patternFill>
    </x:fill>
  </x:fills>
  <x:borders count="2">
    <x:border/>
    <x:border>
      <x:left style="thin">
        <x:color rgb="FFCBD3DA"/>
      </x:left>
      <x:right style="thin">
        <x:color rgb="FFCBD3DA"/>
      </x:right>
      <x:top style="thin">
        <x:color rgb="FFCBD3DA"/>
      </x:top>
      <x:bottom style="thin">
        <x:color rgb="FFCBD3D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202" fontId="6" fillId="0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D97735"/>
      </x:font>
      <x:fill>
        <x:patternFill patternType="solid">
          <x:bgColor rgb="FFFBE9DC"/>
        </x:patternFill>
      </x:fill>
    </x:dxf>
    <x:dxf>
      <x:font>
        <x:b/>
        <x:color rgb="FFD97735"/>
      </x:font>
      <x:fill>
        <x:patternFill patternType="solid">
          <x:bgColor rgb="FFFBE9DC"/>
        </x:patternFill>
      </x:fill>
    </x:dxf>
    <x:dxf>
      <x:font>
        <x:b/>
        <x:color rgb="FF427A5B"/>
      </x:font>
      <x:fill>
        <x:patternFill patternType="solid">
          <x:bgColor rgb="FFE5F1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86b957e234de6" /><Relationship Type="http://schemas.openxmlformats.org/officeDocument/2006/relationships/theme" Target="/xl/theme/theme1.xml" Id="Rd5fe7fa4d3ed44f6" /><Relationship Type="http://schemas.openxmlformats.org/officeDocument/2006/relationships/sharedStrings" Target="/xl/sharedStrings.xml" Id="R37f0c119d56345e2" /><Relationship Type="http://schemas.openxmlformats.org/officeDocument/2006/relationships/worksheet" Target="/xl/worksheets/sheet1.xml" Id="Rac4a4312898648e2" /><Relationship Type="http://schemas.openxmlformats.org/officeDocument/2006/relationships/worksheet" Target="/xl/worksheets/sheet2.xml" Id="R1fcf80c3a5414f16" /><Relationship Type="http://schemas.openxmlformats.org/officeDocument/2006/relationships/worksheet" Target="/xl/worksheets/sheet3.xml" Id="Rcb776649ab80416c" /><Relationship Type="http://schemas.microsoft.com/office/2017/10/relationships/person" Target="/xl/persons/person.xml" Id="R81342ad933744bb8" /></Relationships>
</file>

<file path=xl/persons/person.xml><?xml version="1.0" encoding="utf-8"?>
<xltc:personList xmlns:xltc="http://schemas.microsoft.com/office/spreadsheetml/2018/threadedcomments">
  <xltc:person displayName="User" id="{A3752705-434F-43B5-BE21-DD4E141A528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8" hidden="0" customWidth="1"/>
    <x:col min="4" max="4" width="11" hidden="0" customWidth="1"/>
    <x:col min="5" max="5" width="12" hidden="0" customWidth="1"/>
    <x:col min="6" max="6" width="32" hidden="0" customWidth="1"/>
    <x:col min="7" max="7" width="34" hidden="0" customWidth="1"/>
    <x:col min="8" max="8" width="15" hidden="0" customWidth="1"/>
    <x:col min="9" max="9" width="30" hidden="0" customWidth="1"/>
    <x:col min="10" max="10" width="28" hidden="0" customWidth="1"/>
    <x:col min="11" max="11" width="32" hidden="0" customWidth="1"/>
    <x:col min="12" max="12" width="11" hidden="0" customWidth="1"/>
  </x:cols>
  <x:sheetData>
    <x:row r="1" ht="28" customHeight="1">
      <x:c r="A1" s="4" t="str">
        <x:v>出版选题七问评估表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4" customHeight="1">
      <x:c r="A3" s="8" t="str">
        <x:v>书名/项目</x:v>
      </x:c>
      <x:c r="B3" s="9" t="str"/>
      <x:c r="C3" s="8" t="str">
        <x:v>评分日期</x:v>
      </x:c>
      <x:c r="D3" s="10" t="n">
        <x:v>46250.20211559028</x:v>
      </x:c>
      <x:c r="E3" s="8" t="str">
        <x:v>评审人</x:v>
      </x:c>
      <x:c r="F3" s="8" t="str"/>
      <x:c r="G3" s="8" t="str">
        <x:v>总分</x:v>
      </x:c>
      <x:c r="H3" s="13" t="str">
        <x:f>IF(OR(COUNT(D7:D11)&lt;5,D12="",D13=""),"",SUM(E7:E13))</x:f>
      </x:c>
      <x:c r="I3" s="8" t="str">
        <x:v>致命短板检查</x:v>
      </x:c>
      <x:c r="J3" s="8" t="str">
        <x:f>IF(COUNT(D7:D11)&lt;5,"待评分",IF(COUNTIF(D7:D11,"&lt;2")&gt;0,"有（必须项低于2分）","无（五项均不低于2分）"))</x:f>
        <x:v>待评分</x:v>
      </x:c>
      <x:c r="K3" s="8" t="str">
        <x:v>建议结论</x:v>
      </x:c>
      <x:c r="L3" s="8" t="str">
        <x:f>IF(COUNT(D7:D11)&lt;5,"待评分",IF(OR(D12="",D13=""),"待用户选择",IF(COUNTIF(D7:D11,"&lt;2")&gt;0,"暂缓/重做选题",IF(H3&gt;85,"重点加码",IF(H3&gt;=70,"可以推进",IF(H3&gt;=55,"小预算验证","不建议重点投入"))))))</x:f>
        <x:v>待评分</x:v>
      </x:c>
    </x:row>
    <x:row r="4" ht="48" customHeight="1">
      <x:c r="A4" s="15" t="str">
        <x:v>一句话结论</x:v>
      </x:c>
      <x:c r="B4" s="17" t="str">
        <x:v>待生成：完成评分后，按“决策等级：最强优势、关键短板和建议动作”的顺序填写。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5" ht="30" customHeight="1">
      <x:c r="A5" s="20" t="str">
        <x:v>前 5 项由 AI 评分；后 2 项必须由用户选择高/中/低。两项都选完后才输出最终结论。</x:v>
      </x:c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</x:row>
    <x:row r="6" ht="30" customHeight="1">
      <x:c r="A6" s="26" t="str">
        <x:v>类型</x:v>
      </x:c>
      <x:c r="B6" s="26" t="str">
        <x:v>维度</x:v>
      </x:c>
      <x:c r="C6" s="26" t="str">
        <x:v>权重</x:v>
      </x:c>
      <x:c r="D6" s="26" t="str">
        <x:v>评分/用户选择</x:v>
      </x:c>
      <x:c r="E6" s="26" t="str">
        <x:v>加权得分</x:v>
      </x:c>
      <x:c r="F6" s="26" t="str">
        <x:v>核心判断问题</x:v>
      </x:c>
      <x:c r="G6" s="26" t="str">
        <x:v>证据与来源</x:v>
      </x:c>
      <x:c r="H6" s="26" t="str">
        <x:v>证据等级</x:v>
      </x:c>
      <x:c r="I6" s="26" t="str">
        <x:v>判断理由</x:v>
      </x:c>
      <x:c r="J6" s="26" t="str">
        <x:v>低分风险</x:v>
      </x:c>
      <x:c r="K6" s="26" t="str">
        <x:v>下一步动作</x:v>
      </x:c>
      <x:c r="L6" s="26" t="str">
        <x:v>置信度</x:v>
      </x:c>
    </x:row>
    <x:row r="7" ht="78" customHeight="1">
      <x:c r="A7" s="30" t="str">
        <x:v>必须项</x:v>
      </x:c>
      <x:c r="B7" s="30" t="str">
        <x:v>文化母体</x:v>
      </x:c>
      <x:c r="C7" s="34" t="n">
        <x:v>16</x:v>
      </x:c>
      <x:c r="D7" s="33"/>
      <x:c r="E7" s="35" t="str">
        <x:f>IF(D7="","",D7/5*C7)</x:f>
      </x:c>
      <x:c r="F7" s="30" t="str">
        <x:v>背后是否有足够强的共同认知、时代情绪、经典 IP 或社会议题？</x:v>
      </x:c>
      <x:c r="G7" s="31" t="str"/>
      <x:c r="H7" s="31" t="str"/>
      <x:c r="I7" s="31" t="str"/>
      <x:c r="J7" s="30" t="str">
        <x:v>需要反复解释为什么要关心它。</x:v>
      </x:c>
      <x:c r="K7" s="30" t="str">
        <x:v>核验公共讨论、用户语言、文化符号和既有内容热度。</x:v>
      </x:c>
      <x:c r="L7" s="30" t="str"/>
    </x:row>
    <x:row r="8" ht="78" customHeight="1">
      <x:c r="A8" s="30" t="str">
        <x:v>必须项</x:v>
      </x:c>
      <x:c r="B8" s="30" t="str">
        <x:v>真需求</x:v>
      </x:c>
      <x:c r="C8" s="34" t="n">
        <x:v>16</x:v>
      </x:c>
      <x:c r="D8" s="33"/>
      <x:c r="E8" s="35" t="str">
        <x:f>IF(D8="","",D8/5*C8)</x:f>
      </x:c>
      <x:c r="F8" s="30" t="str">
        <x:v>读者是否真的痛、焦虑、想要，或能获得明确收获？</x:v>
      </x:c>
      <x:c r="G8" s="31" t="str"/>
      <x:c r="H8" s="31" t="str"/>
      <x:c r="I8" s="31" t="str"/>
      <x:c r="J8" s="30" t="str">
        <x:v>只有编辑觉得好，读者没有迫切需要。</x:v>
      </x:c>
      <x:c r="K8" s="30" t="str">
        <x:v>开展读者访谈，核验评论、搜索、付费或替代行为。</x:v>
      </x:c>
      <x:c r="L8" s="30" t="str"/>
    </x:row>
    <x:row r="9" ht="78" customHeight="1">
      <x:c r="A9" s="30" t="str">
        <x:v>必须项</x:v>
      </x:c>
      <x:c r="B9" s="30" t="str">
        <x:v>购买理由</x:v>
      </x:c>
      <x:c r="C9" s="34" t="n">
        <x:v>16</x:v>
      </x:c>
      <x:c r="D9" s="33"/>
      <x:c r="E9" s="35" t="str">
        <x:f>IF(D9="","",D9/5*C9)</x:f>
      </x:c>
      <x:c r="F9" s="30" t="str">
        <x:v>内容价值是否容易被翻译成一句下单理由？</x:v>
      </x:c>
      <x:c r="G9" s="31" t="str"/>
      <x:c r="H9" s="31" t="str"/>
      <x:c r="I9" s="31" t="str"/>
      <x:c r="J9" s="30" t="str">
        <x:v>读者觉得好，但不等于会买。</x:v>
      </x:c>
      <x:c r="K9" s="30" t="str">
        <x:v>测试一句话卖点、副标题、样章落地页和小额投放转化。</x:v>
      </x:c>
      <x:c r="L9" s="30" t="str"/>
    </x:row>
    <x:row r="10" ht="78" customHeight="1">
      <x:c r="A10" s="30" t="str">
        <x:v>必须项</x:v>
      </x:c>
      <x:c r="B10" s="30" t="str">
        <x:v>市场位置</x:v>
      </x:c>
      <x:c r="C10" s="34" t="n">
        <x:v>16</x:v>
      </x:c>
      <x:c r="D10" s="33"/>
      <x:c r="E10" s="35" t="str">
        <x:f>IF(D10="","",D10/5*C10)</x:f>
      </x:c>
      <x:c r="F10" s="30" t="str">
        <x:v>竞品强不强？本书是否有可挑战、可切入的位置？</x:v>
      </x:c>
      <x:c r="G10" s="31" t="str"/>
      <x:c r="H10" s="31" t="str"/>
      <x:c r="I10" s="31" t="str"/>
      <x:c r="J10" s="30" t="str">
        <x:v>找不到进入市场的角度，营销会很困难。</x:v>
      </x:c>
      <x:c r="K10" s="30" t="str">
        <x:v>比较直接/间接竞品的读者、价格、卖点、渠道和评价。</x:v>
      </x:c>
      <x:c r="L10" s="30" t="str"/>
    </x:row>
    <x:row r="11" ht="78" customHeight="1">
      <x:c r="A11" s="30" t="str">
        <x:v>必须项</x:v>
      </x:c>
      <x:c r="B11" s="30" t="str">
        <x:v>纸质书匹配度</x:v>
      </x:c>
      <x:c r="C11" s="34" t="n">
        <x:v>16</x:v>
      </x:c>
      <x:c r="D11" s="33"/>
      <x:c r="E11" s="35" t="str">
        <x:f>IF(D11="","",D11/5*C11)</x:f>
      </x:c>
      <x:c r="F11" s="30" t="str">
        <x:v>这个需求为什么一定或更适合做成纸质书？</x:v>
      </x:c>
      <x:c r="G11" s="31" t="str"/>
      <x:c r="H11" s="31" t="str"/>
      <x:c r="I11" s="31" t="str"/>
      <x:c r="J11" s="30" t="str">
        <x:v>可能更适合短视频、课程或工具表格。</x:v>
      </x:c>
      <x:c r="K11" s="30" t="str">
        <x:v>验证阅读深度、使用周期、礼赠场景、装帧价值和纸电差异。</x:v>
      </x:c>
      <x:c r="L11" s="30" t="str"/>
    </x:row>
    <x:row r="12" ht="78" customHeight="1">
      <x:c r="A12" s="30" t="str">
        <x:v>加分项</x:v>
      </x:c>
      <x:c r="B12" s="30" t="str">
        <x:v>公司资源匹配度</x:v>
      </x:c>
      <x:c r="C12" s="34" t="n">
        <x:v>10</x:v>
      </x:c>
      <x:c r="D12" s="33" t="str"/>
      <x:c r="E12" s="35" t="str">
        <x:f>IF(D12="","",IF(D12="高",C12,IF(D12="中",C12*0.6,IF(D12="低",C12*0.2,""))))</x:f>
      </x:c>
      <x:c r="F12" s="30" t="str">
        <x:v>现有达人、渠道、社群、私域和机构合作能否触达目标读者？</x:v>
      </x:c>
      <x:c r="G12" s="31" t="str"/>
      <x:c r="H12" s="31" t="str"/>
      <x:c r="I12" s="31" t="str"/>
      <x:c r="J12" s="30" t="str">
        <x:v>需要从零开路，周期长、成本高。</x:v>
      </x:c>
      <x:c r="K12" s="30" t="str">
        <x:v>列出资源、负责人、历史数据、触达规模和真实承诺。</x:v>
      </x:c>
      <x:c r="L12" s="30" t="str"/>
    </x:row>
    <x:row r="13" ht="78" customHeight="1">
      <x:c r="A13" s="30" t="str">
        <x:v>加分项</x:v>
      </x:c>
      <x:c r="B13" s="30" t="str">
        <x:v>长期/战略价值</x:v>
      </x:c>
      <x:c r="C13" s="34" t="n">
        <x:v>10</x:v>
      </x:c>
      <x:c r="D13" s="33" t="str"/>
      <x:c r="E13" s="35" t="str">
        <x:f>IF(D13="","",IF(D13="高",C13,IF(D13="中",C13*0.6,IF(D13="低",C13*0.2,""))))</x:f>
      </x:c>
      <x:c r="F13" s="30" t="str">
        <x:v>它能否成为长销品、系列品、品牌品或未来增长入口？</x:v>
      </x:c>
      <x:c r="G13" s="31" t="str"/>
      <x:c r="H13" s="31" t="str"/>
      <x:c r="I13" s="31" t="str"/>
      <x:c r="J13" s="30" t="str">
        <x:v>只能靠短期流量打一波，后续价值弱。</x:v>
      </x:c>
      <x:c r="K13" s="30" t="str">
        <x:v>验证复购、系列延展、常青需求、作者成长性和品牌资产。</x:v>
      </x:c>
      <x:c r="L13" s="30" t="str"/>
    </x:row>
  </x:sheetData>
  <x:mergeCells>
    <x:mergeCell ref="A1:L2"/>
    <x:mergeCell ref="B4:L4"/>
    <x:mergeCell ref="A5:L5"/>
  </x:mergeCells>
  <x:conditionalFormatting sqref="D7:D11">
    <x:cfRule type="cellIs" dxfId="0" priority="1" operator="lessThan">
      <x:formula>2</x:formula>
    </x:cfRule>
  </x:conditionalFormatting>
  <x:conditionalFormatting sqref="J3:J3">
    <x:cfRule type="containsText" dxfId="1" priority="2" operator="containsText" text="有（"/>
  </x:conditionalFormatting>
  <x:conditionalFormatting sqref="L3:L3">
    <x:cfRule type="containsText" dxfId="2" priority="3" operator="containsText" text="重点加码"/>
  </x:conditionalFormatting>
  <x:dataValidations count="4">
    <x:dataValidation type="whole" operator="between" sqref="D7:D11">
      <x:formula1>0</x:formula1>
      <x:formula2>5</x:formula2>
    </x:dataValidation>
    <x:dataValidation type="list" sqref="D12:D13">
      <x:formula1>"高,中,低"</x:formula1>
    </x:dataValidation>
    <x:dataValidation type="list" sqref="H7:H13">
      <x:formula1>"A 直接证据,B 间接证据,C 合理推断,D 未知"</x:formula1>
    </x:dataValidation>
    <x:dataValidation type="list" sqref="L7:L13">
      <x:formula1>"高,中,低"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4" hidden="0" customWidth="1"/>
    <x:col min="5" max="5" width="38" hidden="0" customWidth="1"/>
  </x:cols>
  <x:sheetData>
    <x:row r="1">
      <x:c r="A1" s="38" t="str">
        <x:v>七个维度说明</x:v>
      </x:c>
      <x:c r="B1" s="38"/>
      <x:c r="C1" s="38"/>
      <x:c r="D1" s="38"/>
      <x:c r="E1" s="38"/>
    </x:row>
    <x:row r="2">
      <x:c r="A2" s="38"/>
      <x:c r="B2" s="38"/>
      <x:c r="C2" s="38"/>
      <x:c r="D2" s="38"/>
      <x:c r="E2" s="38"/>
    </x:row>
    <x:row r="4">
      <x:c r="A4" s="39" t="str">
        <x:v>维度</x:v>
      </x:c>
      <x:c r="B4" s="39" t="str">
        <x:v>简要说明</x:v>
      </x:c>
      <x:c r="C4" s="39" t="str">
        <x:v>高分表现</x:v>
      </x:c>
      <x:c r="D4" s="39" t="str">
        <x:v>低分警讯</x:v>
      </x:c>
      <x:c r="E4" s="39" t="str">
        <x:v>补证方向</x:v>
      </x:c>
    </x:row>
    <x:row r="5" ht="72" customHeight="1">
      <x:c r="A5" s="41" t="str">
        <x:v>文化母体</x:v>
      </x:c>
      <x:c r="B5" s="30" t="str">
        <x:v>判断是否有读者无需教育即可理解、认同或争论的共同语境。</x:v>
      </x:c>
      <x:c r="C5" s="30" t="str">
        <x:v>读者不需要大量解释就知道它和自己有关。</x:v>
      </x:c>
      <x:c r="D5" s="30" t="str">
        <x:v>需要反复解释“为什么要关心它”。</x:v>
      </x:c>
      <x:c r="E5" s="30" t="str">
        <x:v>核验公共讨论、用户语言、文化符号和既有内容热度。</x:v>
      </x:c>
    </x:row>
    <x:row r="6" ht="72" customHeight="1">
      <x:c r="A6" s="41" t="str">
        <x:v>真需求</x:v>
      </x:c>
      <x:c r="B6" s="30" t="str">
        <x:v>判断读者是否真的痛、焦虑、想要，或能获得明确收获。</x:v>
      </x:c>
      <x:c r="C6" s="30" t="str">
        <x:v>需求尖锐、真实、可被读者主动表达，并有行为或付费证据。</x:v>
      </x:c>
      <x:c r="D6" s="30" t="str">
        <x:v>只有编辑觉得好，读者没有迫切需要。</x:v>
      </x:c>
      <x:c r="E6" s="30" t="str">
        <x:v>开展读者访谈，核验评论、搜索、付费或替代行为。</x:v>
      </x:c>
    </x:row>
    <x:row r="7" ht="72" customHeight="1">
      <x:c r="A7" s="41" t="str">
        <x:v>购买理由</x:v>
      </x:c>
      <x:c r="B7" s="30" t="str">
        <x:v>判断内容价值能否变成让读者下单的一句话。</x:v>
      </x:c>
      <x:c r="C7" s="30" t="str">
        <x:v>能说清买回去解决什么、获得什么或改变什么。</x:v>
      </x:c>
      <x:c r="D7" s="30" t="str">
        <x:v>只能获得点赞或收藏，难以转化为购买。</x:v>
      </x:c>
      <x:c r="E7" s="30" t="str">
        <x:v>测试一句话卖点、副标题、样章落地页和小额投放转化。</x:v>
      </x:c>
    </x:row>
    <x:row r="8" ht="72" customHeight="1">
      <x:c r="A8" s="41" t="str">
        <x:v>市场位置</x:v>
      </x:c>
      <x:c r="B8" s="30" t="str">
        <x:v>判断竞品格局和本书的切入角度。</x:v>
      </x:c>
      <x:c r="C8" s="30" t="str">
        <x:v>有明确差异化，如形态、定价、场景、人群或叙事角度。</x:v>
      </x:c>
      <x:c r="D8" s="30" t="str">
        <x:v>竞品强且同质化，进入市场没有理由。</x:v>
      </x:c>
      <x:c r="E8" s="30" t="str">
        <x:v>比较直接/间接竞品的读者、价格、卖点、渠道和评价。</x:v>
      </x:c>
    </x:row>
    <x:row r="9" ht="72" customHeight="1">
      <x:c r="A9" s="41" t="str">
        <x:v>纸质书匹配度</x:v>
      </x:c>
      <x:c r="B9" s="30" t="str">
        <x:v>判断需求为何适合做成纸质书，而非一次性内容。</x:v>
      </x:c>
      <x:c r="C9" s="30" t="str">
        <x:v>需要收藏、反复阅读、系统学习、礼赠、展示或长期陪伴。</x:v>
      </x:c>
      <x:c r="D9" s="30" t="str">
        <x:v>更适合短视频、课程、工具表格或即时搜索。</x:v>
      </x:c>
      <x:c r="E9" s="30" t="str">
        <x:v>验证阅读深度、使用周期、礼赠场景、装帧价值和纸电差异。</x:v>
      </x:c>
    </x:row>
    <x:row r="10" ht="72" customHeight="1">
      <x:c r="A10" s="41" t="str">
        <x:v>公司资源匹配度</x:v>
      </x:c>
      <x:c r="B10" s="30" t="str">
        <x:v>判断现有资源是否能触达目标读者并形成验证闭环。</x:v>
      </x:c>
      <x:c r="C10" s="30" t="str">
        <x:v>已有资源或合作可直接触达并验证。</x:v>
      </x:c>
      <x:c r="D10" s="30" t="str">
        <x:v>需要从零开路，周期长、成本高。</x:v>
      </x:c>
      <x:c r="E10" s="30" t="str">
        <x:v>列出资源、负责人、历史数据、触达规模和真实承诺。</x:v>
      </x:c>
    </x:row>
    <x:row r="11" ht="72" customHeight="1">
      <x:c r="A11" s="41" t="str">
        <x:v>长期/战略价值</x:v>
      </x:c>
      <x:c r="B11" s="30" t="str">
        <x:v>判断能否成为长销品、系列品、品牌品或增长入口。</x:v>
      </x:c>
      <x:c r="C11" s="30" t="str">
        <x:v>能沉淀品牌、用户、产品线或后续业务。</x:v>
      </x:c>
      <x:c r="D11" s="30" t="str">
        <x:v>只能靠短期流量打一波，后续价值弱。</x:v>
      </x:c>
      <x:c r="E11" s="30" t="str">
        <x:v>验证复购、系列延展、常青需求、作者成长性和品牌资产。</x:v>
      </x:c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42" hidden="0" customWidth="1"/>
  </x:cols>
  <x:sheetData>
    <x:row r="1">
      <x:c r="A1" s="38" t="str">
        <x:v>评分规则与来源</x:v>
      </x:c>
      <x:c r="B1" s="38"/>
      <x:c r="C1" s="38"/>
      <x:c r="D1" s="38"/>
    </x:row>
    <x:row r="2">
      <x:c r="A2" s="38"/>
      <x:c r="B2" s="38"/>
      <x:c r="C2" s="38"/>
      <x:c r="D2" s="38"/>
    </x:row>
    <x:row r="4">
      <x:c r="A4" s="39" t="str">
        <x:v>项目</x:v>
      </x:c>
      <x:c r="B4" s="39" t="str">
        <x:v>规则</x:v>
      </x:c>
      <x:c r="C4" s="39" t="str">
        <x:v>说明</x:v>
      </x:c>
      <x:c r="D4" s="39" t="str">
        <x:v>备注</x:v>
      </x:c>
    </x:row>
    <x:row r="5" ht="42" customHeight="1">
      <x:c r="A5" s="44" t="str">
        <x:v>权重</x:v>
      </x:c>
      <x:c r="B5" s="44" t="str">
        <x:v>必须项 80 分；加分项 20 分</x:v>
      </x:c>
      <x:c r="C5" s="44" t="str">
        <x:v>必须项每项 16 分；加分项每项 10 分。</x:v>
      </x:c>
      <x:c r="D5" s="44" t="str">
        <x:v>前 5 项由 AI 评估；后 2 项由用户选择。</x:v>
      </x:c>
    </x:row>
    <x:row r="6" ht="42" customHeight="1">
      <x:c r="A6" s="44" t="str">
        <x:v>致命短板</x:v>
      </x:c>
      <x:c r="B6" s="44" t="str">
        <x:v>任一必须项 &lt;2 分</x:v>
      </x:c>
      <x:c r="C6" s="44" t="str">
        <x:v>结论直接提示“暂缓/重做选题”。</x:v>
      </x:c>
      <x:c r="D6" s="44" t="str">
        <x:v>两个加分项不能抵消致命短板。</x:v>
      </x:c>
    </x:row>
    <x:row r="7" ht="42" customHeight="1">
      <x:c r="A7" s="44" t="str">
        <x:v>重点加码</x:v>
      </x:c>
      <x:c r="B7" s="44" t="str">
        <x:v>总分 &gt;85 且无致命短板</x:v>
      </x:c>
      <x:c r="C7" s="44" t="str">
        <x:v>进入重点资源配置讨论。</x:v>
      </x:c>
      <x:c r="D7" s="44" t="str">
        <x:v>85 分归入“可以推进”。</x:v>
      </x:c>
    </x:row>
    <x:row r="8" ht="42" customHeight="1">
      <x:c r="A8" s="44" t="str">
        <x:v>可以推进</x:v>
      </x:c>
      <x:c r="B8" s="44" t="str">
        <x:v>总分 70–85 且无致命短板</x:v>
      </x:c>
      <x:c r="C8" s="44" t="str">
        <x:v>补强短板后推进。</x:v>
      </x:c>
      <x:c r="D8" s="44" t="str"/>
    </x:row>
    <x:row r="9" ht="42" customHeight="1">
      <x:c r="A9" s="44" t="str">
        <x:v>小预算验证</x:v>
      </x:c>
      <x:c r="B9" s="44" t="str">
        <x:v>总分 55–69 且无致命短板</x:v>
      </x:c>
      <x:c r="C9" s="44" t="str">
        <x:v>先做最低成本验证。</x:v>
      </x:c>
      <x:c r="D9" s="44" t="str"/>
    </x:row>
    <x:row r="10" ht="42" customHeight="1">
      <x:c r="A10" s="44" t="str">
        <x:v>不建议重点投入</x:v>
      </x:c>
      <x:c r="B10" s="44" t="str">
        <x:v>总分 &lt;55 且无致命短板</x:v>
      </x:c>
      <x:c r="C10" s="44" t="str">
        <x:v>建议放弃、重构或等待条件变化。</x:v>
      </x:c>
      <x:c r="D10" s="44" t="str"/>
    </x:row>
    <x:row r="12">
      <x:c r="A12" s="39" t="str">
        <x:v>分值</x:v>
      </x:c>
      <x:c r="B12" s="39" t="str">
        <x:v>通用含义</x:v>
      </x:c>
      <x:c r="C12" s="39" t="str">
        <x:v>证据要求</x:v>
      </x:c>
    </x:row>
    <x:row r="13" ht="32" customHeight="1">
      <x:c r="A13" s="43" t="n">
        <x:v>0</x:v>
      </x:c>
      <x:c r="B13" s="43" t="str">
        <x:v>完全没有或已有直接反证</x:v>
      </x:c>
      <x:c r="C13" s="43" t="str">
        <x:v>逻辑不成立或有明确反证</x:v>
      </x:c>
    </x:row>
    <x:row r="14" ht="32" customHeight="1">
      <x:c r="A14" s="43" t="n">
        <x:v>1</x:v>
      </x:c>
      <x:c r="B14" s="43" t="str">
        <x:v>很弱，仅有模糊感觉</x:v>
      </x:c>
      <x:c r="C14" s="43" t="str">
        <x:v>关键链条断裂</x:v>
      </x:c>
    </x:row>
    <x:row r="15" ht="32" customHeight="1">
      <x:c r="A15" s="43" t="n">
        <x:v>2</x:v>
      </x:c>
      <x:c r="B15" s="43" t="str">
        <x:v>不足，风险显著</x:v>
      </x:c>
      <x:c r="C15" s="43" t="str">
        <x:v>有零散线索但不足以支撑立项</x:v>
      </x:c>
    </x:row>
    <x:row r="16" ht="32" customHeight="1">
      <x:c r="A16" s="43" t="n">
        <x:v>3</x:v>
      </x:c>
      <x:c r="B16" s="43" t="str">
        <x:v>基本成立</x:v>
      </x:c>
      <x:c r="C16" s="43" t="str">
        <x:v>至少有一项可复核证据</x:v>
      </x:c>
    </x:row>
    <x:row r="17" ht="32" customHeight="1">
      <x:c r="A17" s="43" t="n">
        <x:v>4</x:v>
      </x:c>
      <x:c r="B17" s="43" t="str">
        <x:v>较强</x:v>
      </x:c>
      <x:c r="C17" s="43" t="str">
        <x:v>多项 A/B 级证据相互印证</x:v>
      </x:c>
    </x:row>
    <x:row r="18" ht="32" customHeight="1">
      <x:c r="A18" s="43" t="n">
        <x:v>5</x:v>
      </x:c>
      <x:c r="B18" s="43" t="str">
        <x:v>非常强</x:v>
      </x:c>
      <x:c r="C18" s="43" t="str">
        <x:v>证据充分且已被现实结果验证</x:v>
      </x:c>
    </x:row>
    <x:row r="20">
      <x:c r="A20" s="39" t="str">
        <x:v>证据等级</x:v>
      </x:c>
      <x:c r="B20" s="39" t="str">
        <x:v>定义</x:v>
      </x:c>
      <x:c r="C20" s="39" t="str">
        <x:v>示例</x:v>
      </x:c>
    </x:row>
    <x:row r="21" ht="38" customHeight="1">
      <x:c r="A21" s="43" t="str">
        <x:v>A 直接证据</x:v>
      </x:c>
      <x:c r="B21" s="43" t="str">
        <x:v>来自对象或真实行为</x:v>
      </x:c>
      <x:c r="C21" s="43" t="str">
        <x:v>书稿、访谈、成交、投放转化、已确认合作</x:v>
      </x:c>
    </x:row>
    <x:row r="22" ht="38" customHeight="1">
      <x:c r="A22" s="43" t="str">
        <x:v>B 间接证据</x:v>
      </x:c>
      <x:c r="B22" s="43" t="str">
        <x:v>可靠但非本项目直接验证</x:v>
      </x:c>
      <x:c r="C22" s="43" t="str">
        <x:v>竞品数据、作者历史表现、行业报告</x:v>
      </x:c>
    </x:row>
    <x:row r="23" ht="38" customHeight="1">
      <x:c r="A23" s="43" t="str">
        <x:v>C 合理推断</x:v>
      </x:c>
      <x:c r="B23" s="43" t="str">
        <x:v>从材料推导但尚未验证</x:v>
      </x:c>
      <x:c r="C23" s="43" t="str">
        <x:v>根据目录或评论推测</x:v>
      </x:c>
    </x:row>
    <x:row r="24" ht="38" customHeight="1">
      <x:c r="A24" s="43" t="str">
        <x:v>D 未知</x:v>
      </x:c>
      <x:c r="B24" s="43" t="str">
        <x:v>缺少支撑材料</x:v>
      </x:c>
      <x:c r="C24" s="43" t="str">
        <x:v>无读者研究、竞品数据或资源确认</x:v>
      </x:c>
    </x:row>
    <x:row r="26">
      <x:c r="A26" s="39" t="str">
        <x:v>加分项用户选择</x:v>
      </x:c>
      <x:c r="B26" s="39" t="str">
        <x:v>折算分值</x:v>
      </x:c>
      <x:c r="C26" s="39" t="str">
        <x:v>单项加权得分</x:v>
      </x:c>
    </x:row>
    <x:row r="27">
      <x:c r="A27" s="45" t="str">
        <x:v>高</x:v>
      </x:c>
      <x:c r="B27" s="45" t="n">
        <x:v>5</x:v>
      </x:c>
      <x:c r="C27" s="45" t="n">
        <x:v>10</x:v>
      </x:c>
    </x:row>
    <x:row r="28">
      <x:c r="A28" s="45" t="str">
        <x:v>中</x:v>
      </x:c>
      <x:c r="B28" s="45" t="n">
        <x:v>3</x:v>
      </x:c>
      <x:c r="C28" s="45" t="n">
        <x:v>6</x:v>
      </x:c>
    </x:row>
    <x:row r="29">
      <x:c r="A29" s="45" t="str">
        <x:v>低</x:v>
      </x:c>
      <x:c r="B29" s="45" t="n">
        <x:v>1</x:v>
      </x:c>
      <x:c r="C29" s="45" t="n">
        <x:v>2</x:v>
      </x:c>
    </x:row>
    <x:row r="31" ht="32" customHeight="1">
      <x:c r="A31" s="47" t="str">
        <x:v>两个加分项必须由用户分别选择；AI不得代选或默认选择“中”。</x:v>
      </x:c>
      <x:c r="B31" s="47"/>
      <x:c r="C31" s="47"/>
      <x:c r="D31" s="47"/>
    </x:row>
  </x:sheetData>
  <x:mergeCells>
    <x:mergeCell ref="A1:D2"/>
    <x:mergeCell ref="A31:D31"/>
  </x:mergeCells>
  <x:pageMargins left="0.7" right="0.7" top="0.75" bottom="0.75" header="0.3" footer="0.3"/>
</x:worksheet>
</file>